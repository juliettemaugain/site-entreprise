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13_ncr:1_{443AB38C-C4B7-4C09-B814-D2DCD7BA26A2}" xr6:coauthVersionLast="47" xr6:coauthVersionMax="47" xr10:uidLastSave="{00000000-0000-0000-0000-000000000000}"/>
  <bookViews>
    <workbookView xWindow="-108" yWindow="-108" windowWidth="23256" windowHeight="12456" tabRatio="870" activeTab="3" xr2:uid="{E26D3C08-6346-4A96-8FAC-2B13CA50DF84}"/>
  </bookViews>
  <sheets>
    <sheet name="Légende " sheetId="6" r:id="rId1"/>
    <sheet name="cout de traction d'un tracteur " sheetId="1" r:id="rId2"/>
    <sheet name="cout de traction d'un porteur " sheetId="7" r:id="rId3"/>
    <sheet name=" cout d'utilisation d'une cellu" sheetId="8" r:id="rId4"/>
    <sheet name="cout d'utilisation d'un pulvé " sheetId="5" r:id="rId5"/>
    <sheet name="disque + Epampreuse " sheetId="15" r:id="rId6"/>
    <sheet name="vibroculteur + semoir +herse  " sheetId="13" r:id="rId7"/>
    <sheet name="rouleaux faca + epampreuse " sheetId="14" r:id="rId8"/>
    <sheet name="Feuil2" sheetId="12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B4" i="15"/>
  <c r="G14" i="15" s="1"/>
  <c r="B4" i="8"/>
  <c r="G13" i="8" s="1"/>
  <c r="B5" i="1"/>
  <c r="B10" i="1"/>
  <c r="B18" i="1"/>
  <c r="B4" i="13"/>
  <c r="B5" i="13" s="1"/>
  <c r="G15" i="13" s="1"/>
  <c r="B14" i="15"/>
  <c r="B14" i="14"/>
  <c r="G14" i="14"/>
  <c r="B14" i="13"/>
  <c r="B4" i="5"/>
  <c r="G13" i="5" s="1"/>
  <c r="B13" i="5"/>
  <c r="B14" i="7"/>
  <c r="B13" i="7"/>
  <c r="B12" i="7"/>
  <c r="B10" i="7" s="1"/>
  <c r="G15" i="8"/>
  <c r="B13" i="8"/>
  <c r="B15" i="8" s="1"/>
  <c r="B8" i="7"/>
  <c r="B5" i="7" s="1"/>
  <c r="B13" i="1"/>
  <c r="B12" i="1"/>
  <c r="B8" i="1"/>
  <c r="B14" i="1"/>
  <c r="B5" i="5" l="1"/>
  <c r="G14" i="13"/>
  <c r="B5" i="14"/>
  <c r="G15" i="14" s="1"/>
  <c r="G16" i="14" s="1"/>
  <c r="B19" i="8"/>
  <c r="B20" i="8" s="1"/>
  <c r="B18" i="7"/>
  <c r="B5" i="15"/>
  <c r="G15" i="15" s="1"/>
  <c r="G16" i="15" s="1"/>
  <c r="B16" i="15" s="1"/>
  <c r="B18" i="15" s="1"/>
  <c r="B19" i="15" s="1"/>
  <c r="B5" i="8"/>
  <c r="G14" i="8" s="1"/>
  <c r="B16" i="14" l="1"/>
  <c r="B18" i="14" s="1"/>
  <c r="B19" i="14" s="1"/>
  <c r="G14" i="5"/>
  <c r="G15" i="5" s="1"/>
  <c r="B15" i="5" s="1"/>
  <c r="B17" i="5" s="1"/>
  <c r="B18" i="5" s="1"/>
  <c r="G16" i="13"/>
  <c r="B16" i="13"/>
  <c r="B18" i="13" s="1"/>
  <c r="B19" i="13" s="1"/>
</calcChain>
</file>

<file path=xl/sharedStrings.xml><?xml version="1.0" encoding="utf-8"?>
<sst xmlns="http://schemas.openxmlformats.org/spreadsheetml/2006/main" count="166" uniqueCount="66">
  <si>
    <t xml:space="preserve">prix du véhicule </t>
  </si>
  <si>
    <t xml:space="preserve">nombre d'heure par ans </t>
  </si>
  <si>
    <t xml:space="preserve">amortissement en années </t>
  </si>
  <si>
    <t xml:space="preserve">Assurances par ans </t>
  </si>
  <si>
    <t xml:space="preserve">frais financier </t>
  </si>
  <si>
    <t xml:space="preserve">charge variable </t>
  </si>
  <si>
    <t xml:space="preserve">Gasole au litre </t>
  </si>
  <si>
    <t xml:space="preserve">AD bleu 4 à 6 % du gasole </t>
  </si>
  <si>
    <t xml:space="preserve">Charge main d'œuvre par heure </t>
  </si>
  <si>
    <t xml:space="preserve">PRIX ad bleu </t>
  </si>
  <si>
    <t xml:space="preserve">prix pneu arrière  </t>
  </si>
  <si>
    <t xml:space="preserve">prix pneu avant </t>
  </si>
  <si>
    <t xml:space="preserve">cout usure pneu par heure </t>
  </si>
  <si>
    <t xml:space="preserve">consommation de gasol par heure en litre </t>
  </si>
  <si>
    <t xml:space="preserve">Charge fixe par heure </t>
  </si>
  <si>
    <t xml:space="preserve">amortissement hangar par ans </t>
  </si>
  <si>
    <t xml:space="preserve">entretiens par litre consommer en pourcentage </t>
  </si>
  <si>
    <t xml:space="preserve">entretiens (huile, filtre) par heure </t>
  </si>
  <si>
    <t>réparation</t>
  </si>
  <si>
    <t xml:space="preserve">PRIX utilisation par heure </t>
  </si>
  <si>
    <t xml:space="preserve">cout de traction d'un tracteur vignerons </t>
  </si>
  <si>
    <t xml:space="preserve">coeff d'éfficacité </t>
  </si>
  <si>
    <t>vitesse d'avacement en m/h</t>
  </si>
  <si>
    <t>débit de chantier ha/H</t>
  </si>
  <si>
    <t>largeur travailler en mettre</t>
  </si>
  <si>
    <t xml:space="preserve">nombre d'hectar a travailler </t>
  </si>
  <si>
    <t>temps de remplissage en h</t>
  </si>
  <si>
    <t xml:space="preserve">prix de la machine </t>
  </si>
  <si>
    <t xml:space="preserve">nombre d'heure par jours </t>
  </si>
  <si>
    <t xml:space="preserve">Amortissement en années </t>
  </si>
  <si>
    <t xml:space="preserve">assurance par ans </t>
  </si>
  <si>
    <t xml:space="preserve">Frais financier </t>
  </si>
  <si>
    <t xml:space="preserve">Nmbre de remplissage par jour </t>
  </si>
  <si>
    <t>interet d'emprumt</t>
  </si>
  <si>
    <t xml:space="preserve">Nombre de traitement par ans </t>
  </si>
  <si>
    <t>nombe d'heure de pulvé annuelle</t>
  </si>
  <si>
    <t xml:space="preserve">nombre de pulvé </t>
  </si>
  <si>
    <t>heure par pulvé</t>
  </si>
  <si>
    <t xml:space="preserve">possibilité de changer les données </t>
  </si>
  <si>
    <t xml:space="preserve">donnée a changer suivant l'exploitation  </t>
  </si>
  <si>
    <t xml:space="preserve">donnée fixes </t>
  </si>
  <si>
    <t>titre</t>
  </si>
  <si>
    <t xml:space="preserve">cout de traction d'un porteur vignerons </t>
  </si>
  <si>
    <t xml:space="preserve">cout de traitement porteur/cellule a l'heure </t>
  </si>
  <si>
    <t xml:space="preserve">cout de traitement porteur/cellule a l'hectare </t>
  </si>
  <si>
    <t xml:space="preserve">cout d'un traitement par tracteur + pulvé a hectare </t>
  </si>
  <si>
    <t xml:space="preserve">cout d'un traitement par tracteur + pulvé a l'heure </t>
  </si>
  <si>
    <t xml:space="preserve">heure par machine </t>
  </si>
  <si>
    <t xml:space="preserve">nombre de machine </t>
  </si>
  <si>
    <t>nombe d'heure d'utilisation annuelle</t>
  </si>
  <si>
    <t xml:space="preserve">Nombre de utilisation par ans </t>
  </si>
  <si>
    <t xml:space="preserve">Nombre de remplissage par jour </t>
  </si>
  <si>
    <t xml:space="preserve">cout d'un utilisation par tracteur + outil a l'heure </t>
  </si>
  <si>
    <t xml:space="preserve">cout d'un utilisation par tracteur + outil a hectare </t>
  </si>
  <si>
    <t xml:space="preserve">PRIX a l'heure de l'outil </t>
  </si>
  <si>
    <t xml:space="preserve">  </t>
  </si>
  <si>
    <t xml:space="preserve">entretiens par litre consommé en pourcentage </t>
  </si>
  <si>
    <t xml:space="preserve">Prix Gasole au litre </t>
  </si>
  <si>
    <t>nombre de hectare travaillé par jour</t>
  </si>
  <si>
    <t xml:space="preserve">PRIX heure de machine </t>
  </si>
  <si>
    <t xml:space="preserve">Nombre de passage par ans </t>
  </si>
  <si>
    <t xml:space="preserve">PRIX heure de outil </t>
  </si>
  <si>
    <t xml:space="preserve">nombre de jour de travaille </t>
  </si>
  <si>
    <t xml:space="preserve">total heure de travaille </t>
  </si>
  <si>
    <t xml:space="preserve">cout total de travaille </t>
  </si>
  <si>
    <t xml:space="preserve">nombre de hectares travaillés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</si>
</sst>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#,##0_ ;\-#,##0\ "/>
    <numFmt numFmtId="166" formatCode="_-* #,##0.00\ [$€-40C]_-;\-* #,##0.00\ [$€-40C]_-;_-* &quot;-&quot;??\ [$€-40C]_-;_-@_-"/>
    <numFmt numFmtId="167" formatCode="#,##0.00\ &quot;€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" fontId="3" fillId="0" borderId="1" xfId="0" applyNumberFormat="1" applyFont="1" applyBorder="1"/>
    <xf numFmtId="0" fontId="2" fillId="2" borderId="1" xfId="0" applyFont="1" applyFill="1" applyBorder="1"/>
    <xf numFmtId="0" fontId="0" fillId="0" borderId="1" xfId="0" applyBorder="1"/>
    <xf numFmtId="166" fontId="4" fillId="0" borderId="1" xfId="0" applyNumberFormat="1" applyFont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0" fontId="3" fillId="0" borderId="0" xfId="0" applyFont="1"/>
    <xf numFmtId="1" fontId="3" fillId="0" borderId="0" xfId="0" applyNumberFormat="1" applyFont="1"/>
    <xf numFmtId="44" fontId="3" fillId="0" borderId="1" xfId="1" applyFont="1" applyFill="1" applyBorder="1"/>
    <xf numFmtId="1" fontId="3" fillId="0" borderId="1" xfId="1" applyNumberFormat="1" applyFont="1" applyFill="1" applyBorder="1"/>
    <xf numFmtId="44" fontId="4" fillId="0" borderId="1" xfId="1" applyFont="1" applyFill="1" applyBorder="1"/>
    <xf numFmtId="9" fontId="2" fillId="0" borderId="1" xfId="1" applyNumberFormat="1" applyFont="1" applyFill="1" applyBorder="1"/>
    <xf numFmtId="44" fontId="2" fillId="2" borderId="1" xfId="1" applyFont="1" applyFill="1" applyBorder="1"/>
    <xf numFmtId="165" fontId="4" fillId="0" borderId="1" xfId="1" applyNumberFormat="1" applyFont="1" applyFill="1" applyBorder="1"/>
    <xf numFmtId="44" fontId="2" fillId="0" borderId="1" xfId="1" applyFont="1" applyFill="1" applyBorder="1"/>
    <xf numFmtId="44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3" fillId="0" borderId="1" xfId="1" applyNumberFormat="1" applyFont="1" applyFill="1" applyBorder="1"/>
    <xf numFmtId="0" fontId="4" fillId="0" borderId="1" xfId="1" applyNumberFormat="1" applyFont="1" applyFill="1" applyBorder="1"/>
    <xf numFmtId="1" fontId="2" fillId="0" borderId="1" xfId="0" applyNumberFormat="1" applyFont="1" applyBorder="1"/>
    <xf numFmtId="2" fontId="2" fillId="0" borderId="1" xfId="0" applyNumberFormat="1" applyFont="1" applyBorder="1"/>
    <xf numFmtId="166" fontId="0" fillId="0" borderId="0" xfId="0" applyNumberFormat="1"/>
    <xf numFmtId="167" fontId="3" fillId="0" borderId="1" xfId="0" applyNumberFormat="1" applyFont="1" applyBorder="1"/>
    <xf numFmtId="166" fontId="3" fillId="0" borderId="1" xfId="1" applyNumberFormat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2030-FE48-46B9-B1B9-CE2694044544}">
  <dimension ref="B3:C9"/>
  <sheetViews>
    <sheetView topLeftCell="A2" workbookViewId="0">
      <selection activeCell="B16" sqref="B16"/>
    </sheetView>
  </sheetViews>
  <sheetFormatPr baseColWidth="10" defaultColWidth="10.77734375" defaultRowHeight="14.4" x14ac:dyDescent="0.3"/>
  <cols>
    <col min="2" max="2" width="34.44140625" bestFit="1" customWidth="1"/>
  </cols>
  <sheetData>
    <row r="3" spans="2:3" x14ac:dyDescent="0.3">
      <c r="B3" s="10" t="s">
        <v>41</v>
      </c>
      <c r="C3" s="25"/>
    </row>
    <row r="4" spans="2:3" x14ac:dyDescent="0.3">
      <c r="B4" s="10"/>
      <c r="C4" s="26"/>
    </row>
    <row r="5" spans="2:3" x14ac:dyDescent="0.3">
      <c r="B5" s="10" t="s">
        <v>39</v>
      </c>
      <c r="C5" s="27"/>
    </row>
    <row r="6" spans="2:3" x14ac:dyDescent="0.3">
      <c r="B6" s="10"/>
      <c r="C6" s="10"/>
    </row>
    <row r="7" spans="2:3" x14ac:dyDescent="0.3">
      <c r="B7" s="10" t="s">
        <v>40</v>
      </c>
      <c r="C7" s="28"/>
    </row>
    <row r="8" spans="2:3" x14ac:dyDescent="0.3">
      <c r="B8" s="10"/>
      <c r="C8" s="10"/>
    </row>
    <row r="9" spans="2:3" x14ac:dyDescent="0.3">
      <c r="B9" s="10" t="s">
        <v>38</v>
      </c>
      <c r="C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28D9-5DC2-4CD0-839B-E6AF08640E84}">
  <dimension ref="A2:G18"/>
  <sheetViews>
    <sheetView topLeftCell="A5" zoomScale="94" zoomScaleNormal="100" workbookViewId="0">
      <selection activeCell="B6" sqref="B6"/>
    </sheetView>
  </sheetViews>
  <sheetFormatPr baseColWidth="10" defaultColWidth="10.77734375" defaultRowHeight="14.4" x14ac:dyDescent="0.3"/>
  <cols>
    <col min="1" max="1" width="29.33203125" bestFit="1" customWidth="1"/>
    <col min="2" max="2" width="11.44140625" style="1" bestFit="1" customWidth="1"/>
    <col min="6" max="6" width="41" bestFit="1" customWidth="1"/>
    <col min="7" max="7" width="12.5546875" style="1" bestFit="1" customWidth="1"/>
  </cols>
  <sheetData>
    <row r="2" spans="1:7" x14ac:dyDescent="0.3">
      <c r="A2" t="s">
        <v>20</v>
      </c>
      <c r="F2" s="6" t="s">
        <v>0</v>
      </c>
      <c r="G2" s="17">
        <v>80000</v>
      </c>
    </row>
    <row r="3" spans="1:7" x14ac:dyDescent="0.3">
      <c r="F3" s="6" t="s">
        <v>1</v>
      </c>
      <c r="G3" s="18">
        <v>600</v>
      </c>
    </row>
    <row r="4" spans="1:7" x14ac:dyDescent="0.3">
      <c r="F4" s="7" t="s">
        <v>9</v>
      </c>
      <c r="G4" s="19">
        <v>0.6</v>
      </c>
    </row>
    <row r="5" spans="1:7" x14ac:dyDescent="0.3">
      <c r="A5" s="9" t="s">
        <v>14</v>
      </c>
      <c r="B5" s="21">
        <f>(G2/B6)/G3+(B7/G3)+(B8/G3)+(B9/G3)</f>
        <v>29.997619047619043</v>
      </c>
      <c r="F5" s="7" t="s">
        <v>10</v>
      </c>
      <c r="G5" s="19">
        <v>800</v>
      </c>
    </row>
    <row r="6" spans="1:7" x14ac:dyDescent="0.3">
      <c r="A6" s="7" t="s">
        <v>2</v>
      </c>
      <c r="B6" s="22">
        <v>7</v>
      </c>
      <c r="F6" s="7" t="s">
        <v>11</v>
      </c>
      <c r="G6" s="19">
        <v>250</v>
      </c>
    </row>
    <row r="7" spans="1:7" x14ac:dyDescent="0.3">
      <c r="A7" s="7" t="s">
        <v>3</v>
      </c>
      <c r="B7" s="19">
        <v>120</v>
      </c>
      <c r="F7" s="6" t="s">
        <v>13</v>
      </c>
      <c r="G7" s="18">
        <v>7</v>
      </c>
    </row>
    <row r="8" spans="1:7" x14ac:dyDescent="0.3">
      <c r="A8" s="7" t="s">
        <v>4</v>
      </c>
      <c r="B8" s="19">
        <f>G2*G9</f>
        <v>6400</v>
      </c>
      <c r="F8" s="5" t="s">
        <v>16</v>
      </c>
      <c r="G8" s="20">
        <v>0.25</v>
      </c>
    </row>
    <row r="9" spans="1:7" x14ac:dyDescent="0.3">
      <c r="A9" s="7" t="s">
        <v>15</v>
      </c>
      <c r="B9" s="19">
        <v>50</v>
      </c>
      <c r="F9" s="5" t="s">
        <v>33</v>
      </c>
      <c r="G9" s="20">
        <v>0.08</v>
      </c>
    </row>
    <row r="10" spans="1:7" x14ac:dyDescent="0.3">
      <c r="A10" s="9" t="s">
        <v>5</v>
      </c>
      <c r="B10" s="21">
        <f>(B11*G7)+B12+B13+B14+(B15/G3)</f>
        <v>14.722500000000002</v>
      </c>
    </row>
    <row r="11" spans="1:7" x14ac:dyDescent="0.3">
      <c r="A11" s="7" t="s">
        <v>6</v>
      </c>
      <c r="B11" s="19">
        <v>1.35</v>
      </c>
    </row>
    <row r="12" spans="1:7" x14ac:dyDescent="0.3">
      <c r="A12" s="5" t="s">
        <v>7</v>
      </c>
      <c r="B12" s="23">
        <f>G7*0.05*G4</f>
        <v>0.21000000000000002</v>
      </c>
    </row>
    <row r="13" spans="1:7" x14ac:dyDescent="0.3">
      <c r="A13" s="5" t="s">
        <v>17</v>
      </c>
      <c r="B13" s="23">
        <f>B11*G7*G8</f>
        <v>2.3625000000000003</v>
      </c>
    </row>
    <row r="14" spans="1:7" x14ac:dyDescent="0.3">
      <c r="A14" s="5" t="s">
        <v>12</v>
      </c>
      <c r="B14" s="23">
        <f>(2*G5+2*G6)/3000</f>
        <v>0.7</v>
      </c>
    </row>
    <row r="15" spans="1:7" x14ac:dyDescent="0.3">
      <c r="A15" s="6" t="s">
        <v>18</v>
      </c>
      <c r="B15" s="17">
        <v>1200</v>
      </c>
    </row>
    <row r="16" spans="1:7" x14ac:dyDescent="0.3">
      <c r="A16" s="7" t="s">
        <v>8</v>
      </c>
      <c r="B16" s="19">
        <v>20</v>
      </c>
    </row>
    <row r="17" spans="1:2" x14ac:dyDescent="0.3">
      <c r="A17" s="10"/>
      <c r="B17" s="24"/>
    </row>
    <row r="18" spans="1:2" x14ac:dyDescent="0.3">
      <c r="A18" s="9" t="s">
        <v>19</v>
      </c>
      <c r="B18" s="21">
        <f>B5+B10+B16</f>
        <v>64.72011904761905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977F-AC99-49C2-AA09-2D04F7B65E0E}">
  <dimension ref="A2:G18"/>
  <sheetViews>
    <sheetView zoomScale="90" zoomScaleNormal="90" workbookViewId="0">
      <selection activeCell="G3" sqref="G3"/>
    </sheetView>
  </sheetViews>
  <sheetFormatPr baseColWidth="10" defaultColWidth="10.77734375" defaultRowHeight="14.4" x14ac:dyDescent="0.3"/>
  <cols>
    <col min="1" max="1" width="29.33203125" bestFit="1" customWidth="1"/>
    <col min="2" max="2" width="11.44140625" style="1" bestFit="1" customWidth="1"/>
    <col min="6" max="6" width="41" bestFit="1" customWidth="1"/>
    <col min="7" max="7" width="12.5546875" style="1" bestFit="1" customWidth="1"/>
  </cols>
  <sheetData>
    <row r="2" spans="1:7" x14ac:dyDescent="0.3">
      <c r="A2" t="s">
        <v>42</v>
      </c>
      <c r="F2" s="6" t="s">
        <v>0</v>
      </c>
      <c r="G2" s="30">
        <v>150000</v>
      </c>
    </row>
    <row r="3" spans="1:7" x14ac:dyDescent="0.3">
      <c r="F3" s="6" t="s">
        <v>1</v>
      </c>
      <c r="G3" s="18">
        <v>600</v>
      </c>
    </row>
    <row r="4" spans="1:7" x14ac:dyDescent="0.3">
      <c r="F4" s="7" t="s">
        <v>9</v>
      </c>
      <c r="G4" s="19">
        <v>0.6</v>
      </c>
    </row>
    <row r="5" spans="1:7" x14ac:dyDescent="0.3">
      <c r="A5" s="9" t="s">
        <v>14</v>
      </c>
      <c r="B5" s="21">
        <f>(G2/B6)/G3+(B7/G3)+(B8/G3)+(B9/G3)</f>
        <v>56.914285714285718</v>
      </c>
      <c r="F5" s="7" t="s">
        <v>10</v>
      </c>
      <c r="G5" s="19">
        <v>800</v>
      </c>
    </row>
    <row r="6" spans="1:7" x14ac:dyDescent="0.3">
      <c r="A6" s="7" t="s">
        <v>2</v>
      </c>
      <c r="B6" s="22">
        <v>7</v>
      </c>
      <c r="F6" s="7" t="s">
        <v>11</v>
      </c>
      <c r="G6" s="19">
        <v>500</v>
      </c>
    </row>
    <row r="7" spans="1:7" x14ac:dyDescent="0.3">
      <c r="A7" s="7" t="s">
        <v>3</v>
      </c>
      <c r="B7" s="19">
        <v>120</v>
      </c>
      <c r="F7" s="6" t="s">
        <v>13</v>
      </c>
      <c r="G7" s="18">
        <v>15</v>
      </c>
    </row>
    <row r="8" spans="1:7" x14ac:dyDescent="0.3">
      <c r="A8" s="7" t="s">
        <v>4</v>
      </c>
      <c r="B8" s="31">
        <f>G2*G9</f>
        <v>12000</v>
      </c>
      <c r="F8" s="5" t="s">
        <v>56</v>
      </c>
      <c r="G8" s="20">
        <v>0.25</v>
      </c>
    </row>
    <row r="9" spans="1:7" x14ac:dyDescent="0.3">
      <c r="A9" s="7" t="s">
        <v>15</v>
      </c>
      <c r="B9" s="19">
        <v>600</v>
      </c>
      <c r="F9" s="5" t="s">
        <v>33</v>
      </c>
      <c r="G9" s="20">
        <v>0.08</v>
      </c>
    </row>
    <row r="10" spans="1:7" x14ac:dyDescent="0.3">
      <c r="A10" s="9" t="s">
        <v>5</v>
      </c>
      <c r="B10" s="21">
        <f>(B11*G7)+B12+B13+B14+(B15/G3)</f>
        <v>29.962499999999999</v>
      </c>
    </row>
    <row r="11" spans="1:7" x14ac:dyDescent="0.3">
      <c r="A11" s="7" t="s">
        <v>57</v>
      </c>
      <c r="B11" s="19">
        <v>1.35</v>
      </c>
    </row>
    <row r="12" spans="1:7" x14ac:dyDescent="0.3">
      <c r="A12" s="5" t="s">
        <v>7</v>
      </c>
      <c r="B12" s="23">
        <f>G7*0.05*G4</f>
        <v>0.44999999999999996</v>
      </c>
    </row>
    <row r="13" spans="1:7" x14ac:dyDescent="0.3">
      <c r="A13" s="5" t="s">
        <v>17</v>
      </c>
      <c r="B13" s="23">
        <f>B11*G7*G8</f>
        <v>5.0625</v>
      </c>
      <c r="D13" s="2"/>
    </row>
    <row r="14" spans="1:7" x14ac:dyDescent="0.3">
      <c r="A14" s="5" t="s">
        <v>12</v>
      </c>
      <c r="B14" s="23">
        <f>(2*G5+2*G6)/3000</f>
        <v>0.8666666666666667</v>
      </c>
      <c r="D14" s="2"/>
    </row>
    <row r="15" spans="1:7" x14ac:dyDescent="0.3">
      <c r="A15" s="6" t="s">
        <v>18</v>
      </c>
      <c r="B15" s="17">
        <v>2000</v>
      </c>
    </row>
    <row r="16" spans="1:7" x14ac:dyDescent="0.3">
      <c r="A16" s="7" t="s">
        <v>8</v>
      </c>
      <c r="B16" s="19">
        <v>15.7</v>
      </c>
    </row>
    <row r="17" spans="1:2" x14ac:dyDescent="0.3">
      <c r="A17" s="10"/>
      <c r="B17" s="24"/>
    </row>
    <row r="18" spans="1:2" x14ac:dyDescent="0.3">
      <c r="A18" s="9" t="s">
        <v>19</v>
      </c>
      <c r="B18" s="21">
        <f>B5+B10+B16</f>
        <v>102.57678571428572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7E2-45F5-49C1-94D5-FC9BBB2F7DA6}">
  <dimension ref="A2:G20"/>
  <sheetViews>
    <sheetView tabSelected="1" topLeftCell="A2" zoomScale="110" zoomScaleNormal="110" workbookViewId="0">
      <selection activeCell="H6" sqref="H6"/>
    </sheetView>
  </sheetViews>
  <sheetFormatPr baseColWidth="10" defaultColWidth="10.77734375" defaultRowHeight="14.4" x14ac:dyDescent="0.3"/>
  <cols>
    <col min="1" max="1" width="39.21875" bestFit="1" customWidth="1"/>
    <col min="2" max="2" width="11.44140625" bestFit="1" customWidth="1"/>
    <col min="6" max="6" width="29.109375" bestFit="1" customWidth="1"/>
    <col min="7" max="7" width="13.21875" bestFit="1" customWidth="1"/>
  </cols>
  <sheetData>
    <row r="2" spans="1:7" x14ac:dyDescent="0.3">
      <c r="F2" s="6" t="s">
        <v>24</v>
      </c>
      <c r="G2" s="6">
        <v>1.5</v>
      </c>
    </row>
    <row r="3" spans="1:7" x14ac:dyDescent="0.3">
      <c r="F3" s="6" t="s">
        <v>22</v>
      </c>
      <c r="G3" s="6">
        <v>5500</v>
      </c>
    </row>
    <row r="4" spans="1:7" x14ac:dyDescent="0.3">
      <c r="A4" s="5" t="s">
        <v>23</v>
      </c>
      <c r="B4" s="5">
        <f>(G2*G3*G4)/10000</f>
        <v>0.66</v>
      </c>
      <c r="F4" s="6" t="s">
        <v>21</v>
      </c>
      <c r="G4" s="6">
        <v>0.8</v>
      </c>
    </row>
    <row r="5" spans="1:7" x14ac:dyDescent="0.3">
      <c r="A5" s="5" t="s">
        <v>58</v>
      </c>
      <c r="B5" s="5">
        <f>(G6-(G7*G5))*B4</f>
        <v>4.29</v>
      </c>
      <c r="F5" s="7" t="s">
        <v>26</v>
      </c>
      <c r="G5" s="7">
        <v>0.75</v>
      </c>
    </row>
    <row r="6" spans="1:7" x14ac:dyDescent="0.3">
      <c r="B6" t="s">
        <v>55</v>
      </c>
      <c r="F6" s="6" t="s">
        <v>28</v>
      </c>
      <c r="G6" s="6">
        <v>8</v>
      </c>
    </row>
    <row r="7" spans="1:7" x14ac:dyDescent="0.3">
      <c r="F7" s="6" t="s">
        <v>32</v>
      </c>
      <c r="G7" s="8">
        <v>2</v>
      </c>
    </row>
    <row r="8" spans="1:7" x14ac:dyDescent="0.3">
      <c r="F8" s="15"/>
      <c r="G8" s="16"/>
    </row>
    <row r="10" spans="1:7" x14ac:dyDescent="0.3">
      <c r="A10" s="9" t="s">
        <v>14</v>
      </c>
      <c r="B10" s="10"/>
      <c r="F10" s="6" t="s">
        <v>27</v>
      </c>
      <c r="G10" s="13">
        <v>150000</v>
      </c>
    </row>
    <row r="11" spans="1:7" x14ac:dyDescent="0.3">
      <c r="A11" s="7" t="s">
        <v>29</v>
      </c>
      <c r="B11" s="7">
        <v>7</v>
      </c>
      <c r="F11" s="6" t="s">
        <v>25</v>
      </c>
      <c r="G11" s="6">
        <v>20</v>
      </c>
    </row>
    <row r="12" spans="1:7" x14ac:dyDescent="0.3">
      <c r="A12" s="7" t="s">
        <v>30</v>
      </c>
      <c r="B12" s="11">
        <v>120</v>
      </c>
      <c r="F12" s="6" t="s">
        <v>34</v>
      </c>
      <c r="G12" s="6">
        <v>12</v>
      </c>
    </row>
    <row r="13" spans="1:7" x14ac:dyDescent="0.3">
      <c r="A13" s="7" t="s">
        <v>31</v>
      </c>
      <c r="B13" s="11">
        <f>(G10*0.1545119)-(G10/B11)</f>
        <v>1748.2135714285723</v>
      </c>
      <c r="F13" s="5" t="s">
        <v>35</v>
      </c>
      <c r="G13" s="32">
        <f>(G11/B4)*G12</f>
        <v>363.63636363636363</v>
      </c>
    </row>
    <row r="14" spans="1:7" x14ac:dyDescent="0.3">
      <c r="A14" s="7" t="s">
        <v>15</v>
      </c>
      <c r="B14" s="11">
        <v>600</v>
      </c>
      <c r="F14" s="5" t="s">
        <v>36</v>
      </c>
      <c r="G14" s="14">
        <f>G11/B5</f>
        <v>4.6620046620046622</v>
      </c>
    </row>
    <row r="15" spans="1:7" x14ac:dyDescent="0.3">
      <c r="A15" s="5" t="s">
        <v>61</v>
      </c>
      <c r="B15" s="12">
        <f>((G10/B11)+B12+B13+(B14/B11))/G15</f>
        <v>241.05669366715759</v>
      </c>
      <c r="F15" s="5" t="s">
        <v>37</v>
      </c>
      <c r="G15" s="14">
        <f>97</f>
        <v>97</v>
      </c>
    </row>
    <row r="19" spans="1:2" x14ac:dyDescent="0.3">
      <c r="A19" s="5" t="s">
        <v>43</v>
      </c>
      <c r="B19" s="12">
        <f>B15+'cout de traction d''un porteur '!B18</f>
        <v>343.63347938144329</v>
      </c>
    </row>
    <row r="20" spans="1:2" x14ac:dyDescent="0.3">
      <c r="A20" s="5" t="s">
        <v>44</v>
      </c>
      <c r="B20" s="12">
        <f>B19/B4</f>
        <v>520.65678694158078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6DDC-1E6E-4C3A-8587-B95A8DF7EF1A}">
  <dimension ref="A2:G21"/>
  <sheetViews>
    <sheetView zoomScale="90" zoomScaleNormal="90" workbookViewId="0">
      <selection activeCell="G7" sqref="G7"/>
    </sheetView>
  </sheetViews>
  <sheetFormatPr baseColWidth="10" defaultColWidth="10.77734375" defaultRowHeight="14.4" x14ac:dyDescent="0.3"/>
  <cols>
    <col min="1" max="1" width="43.77734375" bestFit="1" customWidth="1"/>
    <col min="2" max="2" width="11.44140625" bestFit="1" customWidth="1"/>
    <col min="6" max="6" width="29.109375" bestFit="1" customWidth="1"/>
    <col min="7" max="7" width="11.44140625" bestFit="1" customWidth="1"/>
  </cols>
  <sheetData>
    <row r="2" spans="1:7" x14ac:dyDescent="0.3">
      <c r="F2" s="6" t="s">
        <v>24</v>
      </c>
      <c r="G2" s="6">
        <v>3</v>
      </c>
    </row>
    <row r="3" spans="1:7" x14ac:dyDescent="0.3">
      <c r="F3" s="6" t="s">
        <v>22</v>
      </c>
      <c r="G3" s="6">
        <v>6000</v>
      </c>
    </row>
    <row r="4" spans="1:7" x14ac:dyDescent="0.3">
      <c r="A4" s="5" t="s">
        <v>23</v>
      </c>
      <c r="B4" s="33">
        <f>(G2*G3*G4)/10000</f>
        <v>1.35</v>
      </c>
      <c r="F4" s="6" t="s">
        <v>21</v>
      </c>
      <c r="G4" s="6">
        <v>0.75</v>
      </c>
    </row>
    <row r="5" spans="1:7" x14ac:dyDescent="0.3">
      <c r="A5" s="5" t="s">
        <v>58</v>
      </c>
      <c r="B5" s="5">
        <f>(G6-(G7*G5))*B4</f>
        <v>10.057499999999999</v>
      </c>
      <c r="F5" s="7" t="s">
        <v>26</v>
      </c>
      <c r="G5" s="7">
        <v>0.75</v>
      </c>
    </row>
    <row r="6" spans="1:7" x14ac:dyDescent="0.3">
      <c r="F6" s="6" t="s">
        <v>28</v>
      </c>
      <c r="G6" s="6">
        <v>8.1999999999999993</v>
      </c>
    </row>
    <row r="7" spans="1:7" x14ac:dyDescent="0.3">
      <c r="F7" s="6" t="s">
        <v>32</v>
      </c>
      <c r="G7" s="8">
        <v>1</v>
      </c>
    </row>
    <row r="8" spans="1:7" x14ac:dyDescent="0.3">
      <c r="F8" s="15"/>
      <c r="G8" s="16"/>
    </row>
    <row r="10" spans="1:7" x14ac:dyDescent="0.3">
      <c r="A10" s="9" t="s">
        <v>14</v>
      </c>
      <c r="B10" s="10"/>
      <c r="F10" s="6" t="s">
        <v>27</v>
      </c>
      <c r="G10" s="35">
        <v>60000</v>
      </c>
    </row>
    <row r="11" spans="1:7" x14ac:dyDescent="0.3">
      <c r="A11" s="7" t="s">
        <v>29</v>
      </c>
      <c r="B11" s="7">
        <v>7</v>
      </c>
      <c r="F11" s="6" t="s">
        <v>25</v>
      </c>
      <c r="G11" s="6">
        <v>20</v>
      </c>
    </row>
    <row r="12" spans="1:7" x14ac:dyDescent="0.3">
      <c r="A12" s="7" t="s">
        <v>30</v>
      </c>
      <c r="B12" s="11">
        <v>120</v>
      </c>
      <c r="F12" s="6" t="s">
        <v>60</v>
      </c>
      <c r="G12" s="6">
        <v>12</v>
      </c>
    </row>
    <row r="13" spans="1:7" x14ac:dyDescent="0.3">
      <c r="A13" s="7" t="s">
        <v>31</v>
      </c>
      <c r="B13" s="11">
        <f>(G10*0.1545119)-(G10/B11)</f>
        <v>699.28542857142929</v>
      </c>
      <c r="F13" s="5" t="s">
        <v>35</v>
      </c>
      <c r="G13" s="5">
        <f>(G11/B4)*G12</f>
        <v>177.77777777777777</v>
      </c>
    </row>
    <row r="14" spans="1:7" x14ac:dyDescent="0.3">
      <c r="A14" s="7" t="s">
        <v>15</v>
      </c>
      <c r="B14" s="11">
        <v>600</v>
      </c>
      <c r="F14" s="5" t="s">
        <v>36</v>
      </c>
      <c r="G14" s="14">
        <f>G11/B5</f>
        <v>1.9885657469550089</v>
      </c>
    </row>
    <row r="15" spans="1:7" x14ac:dyDescent="0.3">
      <c r="A15" s="5" t="s">
        <v>59</v>
      </c>
      <c r="B15" s="12">
        <f>((G10/B11)+B12+B13+(B14/B11))/G15</f>
        <v>106.00031639501439</v>
      </c>
      <c r="F15" s="5" t="s">
        <v>47</v>
      </c>
      <c r="G15" s="14">
        <f>G13/G14</f>
        <v>89.399999999999991</v>
      </c>
    </row>
    <row r="17" spans="1:6" x14ac:dyDescent="0.3">
      <c r="A17" s="5" t="s">
        <v>46</v>
      </c>
      <c r="B17" s="12">
        <f>B15+'cout de traction d''un tracteur '!B18</f>
        <v>170.72043544263346</v>
      </c>
      <c r="F17" s="34"/>
    </row>
    <row r="18" spans="1:6" x14ac:dyDescent="0.3">
      <c r="A18" s="5" t="s">
        <v>45</v>
      </c>
      <c r="B18" s="12">
        <f>B17/B4</f>
        <v>126.45958180935811</v>
      </c>
    </row>
    <row r="19" spans="1:6" x14ac:dyDescent="0.3">
      <c r="A19" s="3"/>
      <c r="B19" s="3"/>
    </row>
    <row r="20" spans="1:6" x14ac:dyDescent="0.3">
      <c r="A20" s="3"/>
      <c r="B20" s="4"/>
    </row>
    <row r="21" spans="1:6" x14ac:dyDescent="0.3">
      <c r="A21" s="3"/>
      <c r="B21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A37C-EF8C-4E82-A785-356155E7441B}">
  <dimension ref="A2:G22"/>
  <sheetViews>
    <sheetView topLeftCell="A7" zoomScale="120" zoomScaleNormal="120" workbookViewId="0">
      <selection activeCell="D10" sqref="D10"/>
    </sheetView>
  </sheetViews>
  <sheetFormatPr baseColWidth="10" defaultColWidth="10.77734375" defaultRowHeight="14.4" x14ac:dyDescent="0.3"/>
  <cols>
    <col min="1" max="1" width="43.77734375" bestFit="1" customWidth="1"/>
    <col min="2" max="2" width="11.44140625" bestFit="1" customWidth="1"/>
    <col min="6" max="6" width="31.88671875" bestFit="1" customWidth="1"/>
    <col min="7" max="7" width="12.5546875" bestFit="1" customWidth="1"/>
  </cols>
  <sheetData>
    <row r="2" spans="1:7" x14ac:dyDescent="0.3">
      <c r="F2" s="6" t="s">
        <v>24</v>
      </c>
      <c r="G2" s="6">
        <v>1.5</v>
      </c>
    </row>
    <row r="3" spans="1:7" x14ac:dyDescent="0.3">
      <c r="F3" s="6" t="s">
        <v>22</v>
      </c>
      <c r="G3" s="6">
        <v>3500</v>
      </c>
    </row>
    <row r="4" spans="1:7" x14ac:dyDescent="0.3">
      <c r="A4" s="5" t="s">
        <v>23</v>
      </c>
      <c r="B4" s="5" t="e">
        <f>(G2*G3*G4)/10000</f>
        <v>#VALUE!</v>
      </c>
      <c r="F4" s="6" t="s">
        <v>21</v>
      </c>
      <c r="G4" s="6" t="s">
        <v>55</v>
      </c>
    </row>
    <row r="5" spans="1:7" x14ac:dyDescent="0.3">
      <c r="A5" s="5" t="s">
        <v>65</v>
      </c>
      <c r="B5" s="5" t="e">
        <f>(G7*G6-(G8*G5))*B4</f>
        <v>#VALUE!</v>
      </c>
      <c r="F5" s="7" t="s">
        <v>26</v>
      </c>
      <c r="G5" s="7">
        <v>0.25</v>
      </c>
    </row>
    <row r="6" spans="1:7" x14ac:dyDescent="0.3">
      <c r="A6" s="3"/>
      <c r="B6" s="3"/>
      <c r="F6" s="6" t="s">
        <v>62</v>
      </c>
      <c r="G6" s="6">
        <v>5</v>
      </c>
    </row>
    <row r="7" spans="1:7" x14ac:dyDescent="0.3">
      <c r="F7" s="6" t="s">
        <v>28</v>
      </c>
      <c r="G7" s="6">
        <v>8</v>
      </c>
    </row>
    <row r="8" spans="1:7" x14ac:dyDescent="0.3">
      <c r="F8" s="6" t="s">
        <v>51</v>
      </c>
      <c r="G8" s="8">
        <v>2</v>
      </c>
    </row>
    <row r="9" spans="1:7" x14ac:dyDescent="0.3">
      <c r="F9" s="15"/>
      <c r="G9" s="16"/>
    </row>
    <row r="10" spans="1:7" x14ac:dyDescent="0.3">
      <c r="D10" t="s">
        <v>55</v>
      </c>
    </row>
    <row r="11" spans="1:7" x14ac:dyDescent="0.3">
      <c r="A11" s="9" t="s">
        <v>14</v>
      </c>
      <c r="B11" s="10"/>
      <c r="F11" s="6" t="s">
        <v>27</v>
      </c>
      <c r="G11" s="13">
        <v>11000</v>
      </c>
    </row>
    <row r="12" spans="1:7" x14ac:dyDescent="0.3">
      <c r="A12" s="7" t="s">
        <v>29</v>
      </c>
      <c r="B12" s="7">
        <v>7</v>
      </c>
      <c r="F12" s="6" t="s">
        <v>25</v>
      </c>
      <c r="G12" s="6">
        <v>20</v>
      </c>
    </row>
    <row r="13" spans="1:7" x14ac:dyDescent="0.3">
      <c r="A13" s="7" t="s">
        <v>30</v>
      </c>
      <c r="B13" s="11">
        <v>120</v>
      </c>
      <c r="F13" s="6" t="s">
        <v>50</v>
      </c>
      <c r="G13" s="6">
        <v>1</v>
      </c>
    </row>
    <row r="14" spans="1:7" x14ac:dyDescent="0.3">
      <c r="A14" s="7" t="s">
        <v>31</v>
      </c>
      <c r="B14" s="11">
        <f>(G11*0.1545119)-(G11/B12)</f>
        <v>128.20232857142878</v>
      </c>
      <c r="F14" s="5" t="s">
        <v>49</v>
      </c>
      <c r="G14" s="5" t="e">
        <f>(G12/B4)*G13</f>
        <v>#VALUE!</v>
      </c>
    </row>
    <row r="15" spans="1:7" x14ac:dyDescent="0.3">
      <c r="A15" s="7" t="s">
        <v>15</v>
      </c>
      <c r="B15" s="11">
        <v>600</v>
      </c>
      <c r="F15" s="5" t="s">
        <v>48</v>
      </c>
      <c r="G15" s="14" t="e">
        <f>G12/B5</f>
        <v>#VALUE!</v>
      </c>
    </row>
    <row r="16" spans="1:7" x14ac:dyDescent="0.3">
      <c r="A16" s="5" t="s">
        <v>54</v>
      </c>
      <c r="B16" s="12" t="e">
        <f>((G11/B12)+B13+B14+(B15/B12))/G16</f>
        <v>#VALUE!</v>
      </c>
      <c r="F16" s="5" t="s">
        <v>47</v>
      </c>
      <c r="G16" s="14" t="e">
        <f>(G14/G15)*G13</f>
        <v>#VALUE!</v>
      </c>
    </row>
    <row r="18" spans="1:2" x14ac:dyDescent="0.3">
      <c r="A18" s="5" t="s">
        <v>52</v>
      </c>
      <c r="B18" s="12" t="e">
        <f>B16+'cout de traction d''un tracteur '!B18</f>
        <v>#VALUE!</v>
      </c>
    </row>
    <row r="19" spans="1:2" x14ac:dyDescent="0.3">
      <c r="A19" s="5" t="s">
        <v>53</v>
      </c>
      <c r="B19" s="12" t="e">
        <f>B18/B4</f>
        <v>#VALUE!</v>
      </c>
    </row>
    <row r="20" spans="1:2" x14ac:dyDescent="0.3">
      <c r="A20" s="3"/>
      <c r="B20" s="3"/>
    </row>
    <row r="21" spans="1:2" x14ac:dyDescent="0.3">
      <c r="A21" s="3"/>
      <c r="B21" s="4"/>
    </row>
    <row r="22" spans="1:2" x14ac:dyDescent="0.3">
      <c r="A22" s="3"/>
      <c r="B22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2697-4AA2-43BF-8EFE-5A796CF4C37B}">
  <dimension ref="A2:G22"/>
  <sheetViews>
    <sheetView zoomScale="80" zoomScaleNormal="80" workbookViewId="0">
      <selection activeCell="G21" sqref="G21"/>
    </sheetView>
  </sheetViews>
  <sheetFormatPr baseColWidth="10" defaultColWidth="10.77734375" defaultRowHeight="14.4" x14ac:dyDescent="0.3"/>
  <cols>
    <col min="1" max="1" width="43.77734375" bestFit="1" customWidth="1"/>
    <col min="2" max="2" width="11.44140625" bestFit="1" customWidth="1"/>
    <col min="6" max="6" width="31.88671875" bestFit="1" customWidth="1"/>
    <col min="7" max="7" width="12.5546875" bestFit="1" customWidth="1"/>
  </cols>
  <sheetData>
    <row r="2" spans="1:7" x14ac:dyDescent="0.3">
      <c r="F2" s="6" t="s">
        <v>24</v>
      </c>
      <c r="G2" s="6">
        <v>1.5</v>
      </c>
    </row>
    <row r="3" spans="1:7" x14ac:dyDescent="0.3">
      <c r="F3" s="6" t="s">
        <v>22</v>
      </c>
      <c r="G3" s="6">
        <v>0</v>
      </c>
    </row>
    <row r="4" spans="1:7" x14ac:dyDescent="0.3">
      <c r="A4" s="5" t="s">
        <v>23</v>
      </c>
      <c r="B4" s="5">
        <f>(G2*G3*G4)/10000</f>
        <v>0</v>
      </c>
      <c r="F4" s="6" t="s">
        <v>21</v>
      </c>
      <c r="G4" s="6">
        <v>0.8</v>
      </c>
    </row>
    <row r="5" spans="1:7" x14ac:dyDescent="0.3">
      <c r="A5" s="5" t="s">
        <v>65</v>
      </c>
      <c r="B5" s="5">
        <f>(G7*G6-(G8*G5))*B4</f>
        <v>0</v>
      </c>
      <c r="F5" s="7" t="s">
        <v>26</v>
      </c>
      <c r="G5" s="7">
        <v>0.25</v>
      </c>
    </row>
    <row r="6" spans="1:7" x14ac:dyDescent="0.3">
      <c r="A6" s="3"/>
      <c r="B6" s="3"/>
      <c r="F6" s="6" t="s">
        <v>62</v>
      </c>
      <c r="G6" s="6">
        <v>5</v>
      </c>
    </row>
    <row r="7" spans="1:7" x14ac:dyDescent="0.3">
      <c r="F7" s="6" t="s">
        <v>28</v>
      </c>
      <c r="G7" s="6">
        <v>8</v>
      </c>
    </row>
    <row r="8" spans="1:7" x14ac:dyDescent="0.3">
      <c r="F8" s="6" t="s">
        <v>51</v>
      </c>
      <c r="G8" s="8">
        <v>1</v>
      </c>
    </row>
    <row r="9" spans="1:7" x14ac:dyDescent="0.3">
      <c r="F9" s="15"/>
      <c r="G9" s="16"/>
    </row>
    <row r="11" spans="1:7" x14ac:dyDescent="0.3">
      <c r="A11" s="9" t="s">
        <v>14</v>
      </c>
      <c r="B11" s="10"/>
      <c r="F11" s="6" t="s">
        <v>27</v>
      </c>
      <c r="G11" s="13">
        <v>6000</v>
      </c>
    </row>
    <row r="12" spans="1:7" x14ac:dyDescent="0.3">
      <c r="A12" s="7" t="s">
        <v>29</v>
      </c>
      <c r="B12" s="7">
        <v>7</v>
      </c>
      <c r="F12" s="6" t="s">
        <v>25</v>
      </c>
      <c r="G12" s="6">
        <v>5.6</v>
      </c>
    </row>
    <row r="13" spans="1:7" x14ac:dyDescent="0.3">
      <c r="A13" s="7" t="s">
        <v>30</v>
      </c>
      <c r="B13" s="11">
        <v>120</v>
      </c>
      <c r="F13" s="6" t="s">
        <v>50</v>
      </c>
      <c r="G13" s="6">
        <v>2</v>
      </c>
    </row>
    <row r="14" spans="1:7" x14ac:dyDescent="0.3">
      <c r="A14" s="7" t="s">
        <v>31</v>
      </c>
      <c r="B14" s="11">
        <f>(G11*0.1545119)-(G11/B12)</f>
        <v>69.928542857142929</v>
      </c>
      <c r="F14" s="5" t="s">
        <v>49</v>
      </c>
      <c r="G14" s="32" t="e">
        <f>(G12/B4)*G13</f>
        <v>#DIV/0!</v>
      </c>
    </row>
    <row r="15" spans="1:7" x14ac:dyDescent="0.3">
      <c r="A15" s="7" t="s">
        <v>15</v>
      </c>
      <c r="B15" s="11">
        <v>600</v>
      </c>
      <c r="F15" s="5" t="s">
        <v>48</v>
      </c>
      <c r="G15" s="14" t="e">
        <f>G12/B5</f>
        <v>#DIV/0!</v>
      </c>
    </row>
    <row r="16" spans="1:7" x14ac:dyDescent="0.3">
      <c r="A16" s="5" t="s">
        <v>54</v>
      </c>
      <c r="B16" s="12" t="e">
        <f>((G11/B12)+B13+B14+(B15/B12))/G14</f>
        <v>#DIV/0!</v>
      </c>
      <c r="F16" s="5" t="s">
        <v>47</v>
      </c>
      <c r="G16" s="14" t="e">
        <f>G14/G15*G13</f>
        <v>#DIV/0!</v>
      </c>
    </row>
    <row r="18" spans="1:2" x14ac:dyDescent="0.3">
      <c r="A18" s="5" t="s">
        <v>52</v>
      </c>
      <c r="B18" s="12" t="e">
        <f>B16+'cout de traction d''un tracteur '!B18</f>
        <v>#DIV/0!</v>
      </c>
    </row>
    <row r="19" spans="1:2" x14ac:dyDescent="0.3">
      <c r="A19" s="5" t="s">
        <v>53</v>
      </c>
      <c r="B19" s="12" t="e">
        <f>B18/B4</f>
        <v>#DIV/0!</v>
      </c>
    </row>
    <row r="20" spans="1:2" x14ac:dyDescent="0.3">
      <c r="A20" s="3"/>
      <c r="B20" s="3"/>
    </row>
    <row r="21" spans="1:2" x14ac:dyDescent="0.3">
      <c r="A21" s="3"/>
      <c r="B21" s="4"/>
    </row>
    <row r="22" spans="1:2" x14ac:dyDescent="0.3">
      <c r="A22" s="3"/>
      <c r="B22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1A96-7E47-41F7-BCDC-60FDC00122A2}">
  <dimension ref="A2:G22"/>
  <sheetViews>
    <sheetView topLeftCell="A2" zoomScale="90" zoomScaleNormal="90" workbookViewId="0">
      <selection activeCell="G14" sqref="G14"/>
    </sheetView>
  </sheetViews>
  <sheetFormatPr baseColWidth="10" defaultColWidth="10.77734375" defaultRowHeight="14.4" x14ac:dyDescent="0.3"/>
  <cols>
    <col min="1" max="1" width="43.77734375" bestFit="1" customWidth="1"/>
    <col min="2" max="2" width="11.44140625" bestFit="1" customWidth="1"/>
    <col min="6" max="6" width="31.88671875" bestFit="1" customWidth="1"/>
    <col min="7" max="7" width="13.21875" customWidth="1"/>
  </cols>
  <sheetData>
    <row r="2" spans="1:7" x14ac:dyDescent="0.3">
      <c r="F2" s="6" t="s">
        <v>24</v>
      </c>
      <c r="G2" s="6">
        <v>2</v>
      </c>
    </row>
    <row r="3" spans="1:7" x14ac:dyDescent="0.3">
      <c r="F3" s="6" t="s">
        <v>22</v>
      </c>
      <c r="G3" s="6">
        <v>3500</v>
      </c>
    </row>
    <row r="4" spans="1:7" x14ac:dyDescent="0.3">
      <c r="A4" s="5" t="s">
        <v>23</v>
      </c>
      <c r="B4" s="5">
        <f>(G2*G3*G4)/10000</f>
        <v>0.56000000000000005</v>
      </c>
      <c r="F4" s="6" t="s">
        <v>21</v>
      </c>
      <c r="G4" s="6">
        <v>0.8</v>
      </c>
    </row>
    <row r="5" spans="1:7" x14ac:dyDescent="0.3">
      <c r="A5" s="5" t="s">
        <v>65</v>
      </c>
      <c r="B5" s="5">
        <f>(G7*G6-(G8*G5))*B4</f>
        <v>31.080000000000002</v>
      </c>
      <c r="F5" s="7" t="s">
        <v>26</v>
      </c>
      <c r="G5" s="7">
        <v>0.25</v>
      </c>
    </row>
    <row r="6" spans="1:7" x14ac:dyDescent="0.3">
      <c r="A6" s="3"/>
      <c r="B6" s="3"/>
      <c r="F6" s="6" t="s">
        <v>62</v>
      </c>
      <c r="G6" s="6">
        <v>7</v>
      </c>
    </row>
    <row r="7" spans="1:7" x14ac:dyDescent="0.3">
      <c r="F7" s="6" t="s">
        <v>28</v>
      </c>
      <c r="G7" s="6">
        <v>8</v>
      </c>
    </row>
    <row r="8" spans="1:7" x14ac:dyDescent="0.3">
      <c r="F8" s="6" t="s">
        <v>51</v>
      </c>
      <c r="G8" s="8">
        <v>2</v>
      </c>
    </row>
    <row r="9" spans="1:7" x14ac:dyDescent="0.3">
      <c r="F9" s="15"/>
      <c r="G9" s="16"/>
    </row>
    <row r="11" spans="1:7" x14ac:dyDescent="0.3">
      <c r="A11" s="9" t="s">
        <v>14</v>
      </c>
      <c r="B11" s="10"/>
      <c r="F11" s="6" t="s">
        <v>27</v>
      </c>
      <c r="G11" s="36">
        <v>0</v>
      </c>
    </row>
    <row r="12" spans="1:7" x14ac:dyDescent="0.3">
      <c r="A12" s="7" t="s">
        <v>29</v>
      </c>
      <c r="B12" s="7">
        <v>7</v>
      </c>
      <c r="F12" s="6" t="s">
        <v>25</v>
      </c>
      <c r="G12" s="6">
        <v>26</v>
      </c>
    </row>
    <row r="13" spans="1:7" x14ac:dyDescent="0.3">
      <c r="A13" s="7" t="s">
        <v>30</v>
      </c>
      <c r="B13" s="11">
        <v>120</v>
      </c>
      <c r="F13" s="6" t="s">
        <v>50</v>
      </c>
      <c r="G13" s="6">
        <v>3</v>
      </c>
    </row>
    <row r="14" spans="1:7" x14ac:dyDescent="0.3">
      <c r="A14" s="7" t="s">
        <v>31</v>
      </c>
      <c r="B14" s="11">
        <f>(G11*0.1545119)-(G11/B12)</f>
        <v>0</v>
      </c>
      <c r="F14" s="5" t="s">
        <v>49</v>
      </c>
      <c r="G14" s="5">
        <f>(G12/B4)*G13</f>
        <v>139.28571428571428</v>
      </c>
    </row>
    <row r="15" spans="1:7" x14ac:dyDescent="0.3">
      <c r="A15" s="7" t="s">
        <v>15</v>
      </c>
      <c r="B15" s="11">
        <v>600</v>
      </c>
      <c r="F15" s="5" t="s">
        <v>48</v>
      </c>
      <c r="G15" s="14">
        <f>G12/B5</f>
        <v>0.83655083655083651</v>
      </c>
    </row>
    <row r="16" spans="1:7" x14ac:dyDescent="0.3">
      <c r="A16" s="5" t="s">
        <v>54</v>
      </c>
      <c r="B16" s="12">
        <f>((G11/B12)+B13+B14+(B15/B12))/G16</f>
        <v>0.41184041184041187</v>
      </c>
      <c r="F16" s="5" t="s">
        <v>47</v>
      </c>
      <c r="G16" s="14">
        <f>(G14/G15)*G13</f>
        <v>499.5</v>
      </c>
    </row>
    <row r="18" spans="1:2" x14ac:dyDescent="0.3">
      <c r="A18" s="5" t="s">
        <v>52</v>
      </c>
      <c r="B18" s="12">
        <f>B16+'cout de traction d''un tracteur '!B18</f>
        <v>65.131959459459466</v>
      </c>
    </row>
    <row r="19" spans="1:2" x14ac:dyDescent="0.3">
      <c r="A19" s="5" t="s">
        <v>53</v>
      </c>
      <c r="B19" s="12">
        <f>B18/B4</f>
        <v>116.30707046332047</v>
      </c>
    </row>
    <row r="20" spans="1:2" x14ac:dyDescent="0.3">
      <c r="A20" s="3"/>
      <c r="B20" s="3"/>
    </row>
    <row r="21" spans="1:2" x14ac:dyDescent="0.3">
      <c r="A21" s="3"/>
      <c r="B21" s="4"/>
    </row>
    <row r="22" spans="1:2" x14ac:dyDescent="0.3">
      <c r="A22" s="3"/>
      <c r="B22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08F2-1D0A-4468-BD87-D40847BC5251}">
  <dimension ref="A2:A3"/>
  <sheetViews>
    <sheetView workbookViewId="0">
      <selection activeCell="B3" sqref="B3"/>
    </sheetView>
  </sheetViews>
  <sheetFormatPr baseColWidth="10" defaultColWidth="10.77734375" defaultRowHeight="14.4" x14ac:dyDescent="0.3"/>
  <cols>
    <col min="1" max="1" width="20.21875" bestFit="1" customWidth="1"/>
  </cols>
  <sheetData>
    <row r="2" spans="1:1" x14ac:dyDescent="0.3">
      <c r="A2" t="s">
        <v>63</v>
      </c>
    </row>
    <row r="3" spans="1:1" x14ac:dyDescent="0.3">
      <c r="A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Légende </vt:lpstr>
      <vt:lpstr>cout de traction d'un tracteur </vt:lpstr>
      <vt:lpstr>cout de traction d'un porteur </vt:lpstr>
      <vt:lpstr> cout d'utilisation d'une cellu</vt:lpstr>
      <vt:lpstr>cout d'utilisation d'un pulvé </vt:lpstr>
      <vt:lpstr>disque + Epampreuse </vt:lpstr>
      <vt:lpstr>vibroculteur + semoir +herse  </vt:lpstr>
      <vt:lpstr>rouleaux faca + epampreuse 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</dc:creator>
  <cp:lastModifiedBy>Juliette MAUGAIN</cp:lastModifiedBy>
  <dcterms:created xsi:type="dcterms:W3CDTF">2022-12-07T09:20:35Z</dcterms:created>
  <dcterms:modified xsi:type="dcterms:W3CDTF">2025-12-15T12:09:59Z</dcterms:modified>
</cp:coreProperties>
</file>